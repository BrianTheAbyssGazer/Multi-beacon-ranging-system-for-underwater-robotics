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5893274_anu_edu_au/Documents/Documents/sonar/Admininistration/Project Management Plan/"/>
    </mc:Choice>
  </mc:AlternateContent>
  <xr:revisionPtr revIDLastSave="286" documentId="11_F25DC773A252ABDACC1048B5D9DC506E5BDE58EB" xr6:coauthVersionLast="47" xr6:coauthVersionMax="47" xr10:uidLastSave="{6868DF77-C9BF-4FFE-870E-870E33F362FF}"/>
  <bookViews>
    <workbookView xWindow="-110" yWindow="-110" windowWidth="38620" windowHeight="21100" xr2:uid="{00000000-000D-0000-FFFF-FFFF00000000}"/>
  </bookViews>
  <sheets>
    <sheet name="Risk Assessment Table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4" i="1"/>
  <c r="E3" i="1"/>
</calcChain>
</file>

<file path=xl/sharedStrings.xml><?xml version="1.0" encoding="utf-8"?>
<sst xmlns="http://schemas.openxmlformats.org/spreadsheetml/2006/main" count="79" uniqueCount="62">
  <si>
    <t>Risk Category</t>
  </si>
  <si>
    <t>Technical</t>
  </si>
  <si>
    <t>Security</t>
  </si>
  <si>
    <t>Safety</t>
  </si>
  <si>
    <t>Other</t>
  </si>
  <si>
    <t>Hazards</t>
  </si>
  <si>
    <t>Inherent Risk</t>
  </si>
  <si>
    <t>Consequence</t>
  </si>
  <si>
    <t>Risk rating</t>
  </si>
  <si>
    <t xml:space="preserve">Control Measures </t>
  </si>
  <si>
    <t>Likelihood</t>
  </si>
  <si>
    <t>• Implement time-division multiplexing (TDM) or frequency hopping techniques to reduce interference.
• Ensure beacon transmissions are synchronized to avoid overlap.</t>
  </si>
  <si>
    <t>Almost certain</t>
  </si>
  <si>
    <t>Likely</t>
  </si>
  <si>
    <t xml:space="preserve">Possible </t>
  </si>
  <si>
    <t>Unlikely</t>
  </si>
  <si>
    <t xml:space="preserve">Rare </t>
  </si>
  <si>
    <t xml:space="preserve">Catastrophic </t>
  </si>
  <si>
    <t>Major</t>
  </si>
  <si>
    <t>Moderate</t>
  </si>
  <si>
    <t xml:space="preserve">Minor </t>
  </si>
  <si>
    <t xml:space="preserve">Insignificant </t>
  </si>
  <si>
    <t>Insignificant</t>
  </si>
  <si>
    <t>Minor</t>
  </si>
  <si>
    <t>Catastrophic</t>
  </si>
  <si>
    <t>Almost Certain</t>
  </si>
  <si>
    <t>Medium (10)</t>
  </si>
  <si>
    <t>High (14)</t>
  </si>
  <si>
    <t>Extreme (21)</t>
  </si>
  <si>
    <t>Extreme (22)</t>
  </si>
  <si>
    <t>Extreme (25)</t>
  </si>
  <si>
    <t>Medium (7)</t>
  </si>
  <si>
    <t>High (13)</t>
  </si>
  <si>
    <t>High (16)</t>
  </si>
  <si>
    <t>Extreme (20)</t>
  </si>
  <si>
    <t>Extreme (24)</t>
  </si>
  <si>
    <t>Possible</t>
  </si>
  <si>
    <t>Low (4)</t>
  </si>
  <si>
    <t>Medium (9)</t>
  </si>
  <si>
    <t>High (15)</t>
  </si>
  <si>
    <t>High (18)</t>
  </si>
  <si>
    <t>Extreme (23)</t>
  </si>
  <si>
    <t>Low (2)</t>
  </si>
  <si>
    <t>Medium (6)</t>
  </si>
  <si>
    <t>Medium (8)</t>
  </si>
  <si>
    <t>High (17)</t>
  </si>
  <si>
    <t>High (19)</t>
  </si>
  <si>
    <t>Rare</t>
  </si>
  <si>
    <t>Low (1)</t>
  </si>
  <si>
    <t>Low (3)</t>
  </si>
  <si>
    <t>Low (5)</t>
  </si>
  <si>
    <t>Medium (11)</t>
  </si>
  <si>
    <t>Medium (12)</t>
  </si>
  <si>
    <t xml:space="preserve">Don’t change anything on this sheet </t>
  </si>
  <si>
    <t>• Establish multiple communication channels e.g. email, phone, video calls.
• Assign a team member as the main point of contact to follow up regularly.</t>
  </si>
  <si>
    <t>• Assign backup members for critical tasks in advance.
• Maintain clear documentation so another team member can take over if needed.
• Set early deadlines to allow buffer time for unexpected absences.</t>
  </si>
  <si>
    <t>Use correlation based coding (Gold code)?</t>
  </si>
  <si>
    <t>Potentially make data package shorter</t>
  </si>
  <si>
    <t>Try phase keying ?</t>
  </si>
  <si>
    <t>Is delay among measurements from different beacons an issue?</t>
  </si>
  <si>
    <t>equipment</t>
  </si>
  <si>
    <t>Where to place pool and size of pool.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</si>
</sst>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A3" zoomScale="244" zoomScaleNormal="85" workbookViewId="0">
      <selection activeCell="A8" sqref="A8:XFD8"/>
    </sheetView>
  </sheetViews>
  <sheetFormatPr defaultRowHeight="14.5" x14ac:dyDescent="0.35"/>
  <cols>
    <col min="1" max="1" width="11.54296875" style="2" bestFit="1" customWidth="1"/>
    <col min="2" max="2" width="41.6328125" style="3" customWidth="1"/>
    <col min="3" max="3" width="8.81640625" style="2" bestFit="1" customWidth="1"/>
    <col min="4" max="4" width="11.26953125" style="2" bestFit="1" customWidth="1"/>
    <col min="5" max="5" width="10.90625" style="2" bestFit="1" customWidth="1"/>
    <col min="6" max="6" width="41.36328125" style="3" customWidth="1"/>
  </cols>
  <sheetData>
    <row r="1" spans="1:6" x14ac:dyDescent="0.35">
      <c r="A1" s="6" t="s">
        <v>0</v>
      </c>
      <c r="B1" s="8" t="s">
        <v>5</v>
      </c>
      <c r="C1" s="6" t="s">
        <v>6</v>
      </c>
      <c r="D1" s="6"/>
      <c r="E1" s="6"/>
      <c r="F1" s="8" t="s">
        <v>9</v>
      </c>
    </row>
    <row r="2" spans="1:6" ht="15" thickBot="1" x14ac:dyDescent="0.4">
      <c r="A2" s="7"/>
      <c r="B2" s="9"/>
      <c r="C2" s="1" t="s">
        <v>10</v>
      </c>
      <c r="D2" s="1" t="s">
        <v>7</v>
      </c>
      <c r="E2" s="1" t="s">
        <v>8</v>
      </c>
      <c r="F2" s="9"/>
    </row>
    <row r="3" spans="1:6" x14ac:dyDescent="0.35">
      <c r="A3" s="2" t="s">
        <v>1</v>
      </c>
      <c r="B3" s="3" t="s">
        <v>56</v>
      </c>
      <c r="C3" s="2" t="s">
        <v>13</v>
      </c>
      <c r="D3" s="2" t="s">
        <v>18</v>
      </c>
      <c r="E3" s="2" t="str">
        <f>INDEX(List!$F$2:$J$6, MATCH(C3, List!$E$2:$E$6, 0), MATCH(D3, List!$F$1:$J$1, 0))</f>
        <v>Extreme (20)</v>
      </c>
      <c r="F3" s="3" t="s">
        <v>57</v>
      </c>
    </row>
    <row r="4" spans="1:6" ht="72.5" x14ac:dyDescent="0.35">
      <c r="A4" s="2" t="s">
        <v>1</v>
      </c>
      <c r="B4" s="3" t="s">
        <v>58</v>
      </c>
      <c r="C4" s="2" t="s">
        <v>13</v>
      </c>
      <c r="D4" s="2" t="s">
        <v>24</v>
      </c>
      <c r="E4" s="2" t="str">
        <f>INDEX(List!$F$2:$J$6, MATCH(C4, List!$E$2:$E$6, 0), MATCH(D4, List!$F$1:$J$1, 0))</f>
        <v>Extreme (24)</v>
      </c>
      <c r="F4" s="3" t="s">
        <v>11</v>
      </c>
    </row>
    <row r="5" spans="1:6" ht="28" customHeight="1" x14ac:dyDescent="0.35">
      <c r="A5" s="2" t="s">
        <v>1</v>
      </c>
    </row>
    <row r="6" spans="1:6" ht="58" x14ac:dyDescent="0.35">
      <c r="A6" s="2" t="s">
        <v>1</v>
      </c>
      <c r="B6" s="3" t="s">
        <v>59</v>
      </c>
      <c r="C6" s="2" t="s">
        <v>15</v>
      </c>
      <c r="D6" s="2" t="s">
        <v>19</v>
      </c>
      <c r="E6" s="2" t="str">
        <f>INDEX(List!$F$2:$J$6, MATCH(C6, List!$E$2:$E$6, 0), MATCH(D6, List!$F$1:$J$1, 0))</f>
        <v>Medium (8)</v>
      </c>
      <c r="F6" s="3" t="s">
        <v>54</v>
      </c>
    </row>
    <row r="7" spans="1:6" ht="87" x14ac:dyDescent="0.35">
      <c r="A7" s="2" t="s">
        <v>60</v>
      </c>
      <c r="B7" s="3" t="s">
        <v>61</v>
      </c>
      <c r="C7" s="2" t="s">
        <v>15</v>
      </c>
      <c r="D7" s="2" t="s">
        <v>19</v>
      </c>
      <c r="E7" s="2" t="str">
        <f>INDEX(List!$F$2:$J$6, MATCH(C7, List!$E$2:$E$6, 0), MATCH(D7, List!$F$1:$J$1, 0))</f>
        <v>Medium (8)</v>
      </c>
      <c r="F7" s="3" t="s">
        <v>55</v>
      </c>
    </row>
  </sheetData>
  <dataConsolidate/>
  <mergeCells count="4">
    <mergeCell ref="C1:E1"/>
    <mergeCell ref="A1:A2"/>
    <mergeCell ref="B1:B2"/>
    <mergeCell ref="F1:F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00FC1BD-EF84-4D32-B60C-6CDC5C2E0D77}">
          <x14:formula1>
            <xm:f>List!$E$2:$E$6</xm:f>
          </x14:formula1>
          <xm:sqref>C1:C1048576</xm:sqref>
        </x14:dataValidation>
        <x14:dataValidation type="list" allowBlank="1" showInputMessage="1" showErrorMessage="1" xr:uid="{193EC798-DC9F-49AA-8116-829DC4705977}">
          <x14:formula1>
            <xm:f>List!$F$1:$J$1</xm:f>
          </x14:formula1>
          <xm:sqref>D1:D1048576</xm:sqref>
        </x14:dataValidation>
        <x14:dataValidation type="list" allowBlank="1" showInputMessage="1" showErrorMessage="1" xr:uid="{7AD89BB8-71AB-45A6-B082-FF68C50952FE}">
          <x14:formula1>
            <xm:f>List!$A$1:$A$5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CAA5-429E-409C-B24C-BC26C4C690AE}">
  <dimension ref="A1:J8"/>
  <sheetViews>
    <sheetView workbookViewId="0">
      <selection activeCell="A3" sqref="A3"/>
    </sheetView>
  </sheetViews>
  <sheetFormatPr defaultRowHeight="14.5" x14ac:dyDescent="0.35"/>
  <cols>
    <col min="2" max="2" width="12.90625" bestFit="1" customWidth="1"/>
    <col min="3" max="3" width="11.1796875" bestFit="1" customWidth="1"/>
    <col min="5" max="5" width="12.453125" bestFit="1" customWidth="1"/>
    <col min="6" max="6" width="10.90625" bestFit="1" customWidth="1"/>
    <col min="7" max="7" width="9.90625" bestFit="1" customWidth="1"/>
    <col min="8" max="10" width="10.90625" bestFit="1" customWidth="1"/>
  </cols>
  <sheetData>
    <row r="1" spans="1:10" x14ac:dyDescent="0.35">
      <c r="A1" t="s">
        <v>1</v>
      </c>
      <c r="B1" t="s">
        <v>12</v>
      </c>
      <c r="C1" t="s">
        <v>17</v>
      </c>
      <c r="E1" s="2"/>
      <c r="F1" s="2" t="s">
        <v>22</v>
      </c>
      <c r="G1" s="2" t="s">
        <v>23</v>
      </c>
      <c r="H1" s="2" t="s">
        <v>19</v>
      </c>
      <c r="I1" s="2" t="s">
        <v>18</v>
      </c>
      <c r="J1" s="2" t="s">
        <v>24</v>
      </c>
    </row>
    <row r="2" spans="1:10" x14ac:dyDescent="0.35">
      <c r="A2" t="s">
        <v>60</v>
      </c>
      <c r="B2" t="s">
        <v>13</v>
      </c>
      <c r="C2" t="s">
        <v>18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</row>
    <row r="3" spans="1:10" x14ac:dyDescent="0.35">
      <c r="A3" t="s">
        <v>2</v>
      </c>
      <c r="B3" t="s">
        <v>14</v>
      </c>
      <c r="C3" t="s">
        <v>19</v>
      </c>
      <c r="E3" s="4" t="s">
        <v>13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</row>
    <row r="4" spans="1:10" x14ac:dyDescent="0.35">
      <c r="A4" t="s">
        <v>3</v>
      </c>
      <c r="B4" t="s">
        <v>15</v>
      </c>
      <c r="C4" t="s">
        <v>20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</row>
    <row r="5" spans="1:10" x14ac:dyDescent="0.35">
      <c r="A5" t="s">
        <v>4</v>
      </c>
      <c r="B5" t="s">
        <v>16</v>
      </c>
      <c r="C5" t="s">
        <v>21</v>
      </c>
      <c r="E5" s="4" t="s">
        <v>15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46</v>
      </c>
    </row>
    <row r="6" spans="1:10" x14ac:dyDescent="0.35"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</row>
    <row r="8" spans="1:10" s="5" customFormat="1" x14ac:dyDescent="0.35">
      <c r="A8" s="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Assessment Table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Yoyo Lam</dc:creator>
  <cp:lastModifiedBy>Brian Ma</cp:lastModifiedBy>
  <dcterms:created xsi:type="dcterms:W3CDTF">2015-06-05T18:17:20Z</dcterms:created>
  <dcterms:modified xsi:type="dcterms:W3CDTF">2026-01-27T00:41:49Z</dcterms:modified>
</cp:coreProperties>
</file>